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cro Chart" sheetId="1" r:id="rId5"/>
    <sheet state="visible" name="Sprint Tracker" sheetId="2" r:id="rId6"/>
    <sheet state="visible" name="Legend" sheetId="3" r:id="rId7"/>
  </sheets>
  <definedNames/>
  <calcPr/>
</workbook>
</file>

<file path=xl/sharedStrings.xml><?xml version="1.0" encoding="utf-8"?>
<sst xmlns="http://schemas.openxmlformats.org/spreadsheetml/2006/main" count="280" uniqueCount="167">
  <si>
    <t>RESILENCITY: TYLER'S BACKYARD — MACRO CHART</t>
  </si>
  <si>
    <t>The whole game in one sheet. Priority 1 is the never-cut core. Higher numbers are cut first. Read the 'If cut' column before cutting anything.</t>
  </si>
  <si>
    <t>#</t>
  </si>
  <si>
    <t>Feature / Component</t>
  </si>
  <si>
    <t>Subsystem</t>
  </si>
  <si>
    <t>Sprint</t>
  </si>
  <si>
    <t>Priority
(1=never cut)</t>
  </si>
  <si>
    <t>Pillar
served</t>
  </si>
  <si>
    <t>Effort
(1-5)</t>
  </si>
  <si>
    <t>Status</t>
  </si>
  <si>
    <t>If cut, what else falls away</t>
  </si>
  <si>
    <t>Notes</t>
  </si>
  <si>
    <t>World State (MQTT-named variables)</t>
  </si>
  <si>
    <t>Core</t>
  </si>
  <si>
    <t>S2</t>
  </si>
  <si>
    <t>P2</t>
  </si>
  <si>
    <t>Built</t>
  </si>
  <si>
    <t>Nothing works. This is the spine.</t>
  </si>
  <si>
    <t>engine.js. Names match real Pi topics.</t>
  </si>
  <si>
    <t>Tick / clock loop</t>
  </si>
  <si>
    <t>P1</t>
  </si>
  <si>
    <t>No time passes; ceases to be a sim.</t>
  </si>
  <si>
    <t>Day/night, weather, crisis advance.</t>
  </si>
  <si>
    <t>Stamina budget (24 units/move)</t>
  </si>
  <si>
    <t>To build</t>
  </si>
  <si>
    <t>The central tension is gone.</t>
  </si>
  <si>
    <t>Replaces old tick-only model.</t>
  </si>
  <si>
    <t>24-move crisis calendar</t>
  </si>
  <si>
    <t>Narrative</t>
  </si>
  <si>
    <t>P4</t>
  </si>
  <si>
    <t>Partial</t>
  </si>
  <si>
    <t>No pressure; loop has no stakes.</t>
  </si>
  <si>
    <t>Inflation, SNAP cut, isolation.</t>
  </si>
  <si>
    <t>Scavenge action (dump -&gt; bottles)</t>
  </si>
  <si>
    <t>Waste</t>
  </si>
  <si>
    <t>No raw material enters the loop.</t>
  </si>
  <si>
    <t>The mine, not the dump.</t>
  </si>
  <si>
    <t>Polyformer (bottles -&gt; filament)</t>
  </si>
  <si>
    <t>Plastic strand of loop breaks.</t>
  </si>
  <si>
    <t>3D printer (filament -&gt; part)</t>
  </si>
  <si>
    <t>No parts; FarmBot cannot be built.</t>
  </si>
  <si>
    <t>FarmBot (part+water+seed -&gt; crop)</t>
  </si>
  <si>
    <t>Food</t>
  </si>
  <si>
    <t>No food; household cannot survive.</t>
  </si>
  <si>
    <t>Composter (waste -&gt; soil)</t>
  </si>
  <si>
    <t>Loop cannot close; no soil return.</t>
  </si>
  <si>
    <t>This closes the loop.</t>
  </si>
  <si>
    <t>Loop-closed detection + win</t>
  </si>
  <si>
    <t>No win condition; no payoff.</t>
  </si>
  <si>
    <t>The whole point of the slice.</t>
  </si>
  <si>
    <t>Class A/B/C build quality</t>
  </si>
  <si>
    <t>Systems</t>
  </si>
  <si>
    <t>S3</t>
  </si>
  <si>
    <t>Learning-pathway lesson lost.</t>
  </si>
  <si>
    <t>25% vs 10% breakdown.</t>
  </si>
  <si>
    <t>Maintenance loop (2 units -&gt; 0% err)</t>
  </si>
  <si>
    <t>Labor-to-maintenance arc lost.</t>
  </si>
  <si>
    <t>The move-18 climax mechanic.</t>
  </si>
  <si>
    <t>Modular cost step-down (75/25/10)</t>
  </si>
  <si>
    <t>Compounding-investment lesson lost.</t>
  </si>
  <si>
    <t>Stone dashboard (gauges)</t>
  </si>
  <si>
    <t>Stone</t>
  </si>
  <si>
    <t>Player cannot read the system.</t>
  </si>
  <si>
    <t>Masks raw state into gauges.</t>
  </si>
  <si>
    <t>Stone scripted advice</t>
  </si>
  <si>
    <t>Guidance and teaching voice lost.</t>
  </si>
  <si>
    <t>Rules over thresholds.</t>
  </si>
  <si>
    <t>Tri-Path decision (3 ways)</t>
  </si>
  <si>
    <t>Cultural-range lesson lost.</t>
  </si>
  <si>
    <t>Hack / ancestral / code-compliant.</t>
  </si>
  <si>
    <t>Raw MQTT topics toggle</t>
  </si>
  <si>
    <t>Digital-twin proof not visible.</t>
  </si>
  <si>
    <t>Shows the twin claim on screen.</t>
  </si>
  <si>
    <t>Reputation = market demand</t>
  </si>
  <si>
    <t>Enterprise</t>
  </si>
  <si>
    <t>P3</t>
  </si>
  <si>
    <t>Tier 2 (what you play for) lost.</t>
  </si>
  <si>
    <t>Drives adoption + sales.</t>
  </si>
  <si>
    <t>Sell / earn / reinvest</t>
  </si>
  <si>
    <t>Earned-income spine lost.</t>
  </si>
  <si>
    <t>Core of Tier 2.</t>
  </si>
  <si>
    <t>Documentation = replication</t>
  </si>
  <si>
    <t>Neighbor adoption cannot start.</t>
  </si>
  <si>
    <t>Doc a build so it can be copied.</t>
  </si>
  <si>
    <t>Backyard map + Tyler avatar</t>
  </si>
  <si>
    <t>Presentation</t>
  </si>
  <si>
    <t>Built (v0.2)</t>
  </si>
  <si>
    <t>Reverts to panel-only; less legible.</t>
  </si>
  <si>
    <t>scene.js. Greybox shapes.</t>
  </si>
  <si>
    <t>Material tokens flowing on map</t>
  </si>
  <si>
    <t>Loop is not visible, only numeric.</t>
  </si>
  <si>
    <t>The 'see the loop' payoff.</t>
  </si>
  <si>
    <t>Makko art Collection (sprites)</t>
  </si>
  <si>
    <t>Art</t>
  </si>
  <si>
    <t>Ships as greybox. Playable, not pretty.</t>
  </si>
  <si>
    <t>Swaps over anchors. Confirm rights.</t>
  </si>
  <si>
    <t>Feedback sound</t>
  </si>
  <si>
    <t>Polish</t>
  </si>
  <si>
    <t>S4</t>
  </si>
  <si>
    <t>Less juice; still fully playable.</t>
  </si>
  <si>
    <t>Neighborhood adoption (ending reveal)</t>
  </si>
  <si>
    <t>Tier 3 horizon not shown.</t>
  </si>
  <si>
    <t>Earned reveal, not playable phase.</t>
  </si>
  <si>
    <t>Propagation lab event (month 8)</t>
  </si>
  <si>
    <t>One crisis beat less; core intact.</t>
  </si>
  <si>
    <t>First on the cut list under pressure.</t>
  </si>
  <si>
    <t>Live-AI Stone</t>
  </si>
  <si>
    <t>Later</t>
  </si>
  <si>
    <t>Cut</t>
  </si>
  <si>
    <t>Nothing; scripted Stone stays.</t>
  </si>
  <si>
    <t>Phase 3 / post-jam.</t>
  </si>
  <si>
    <t>Kinetic Gym subsystem</t>
  </si>
  <si>
    <t>Energy</t>
  </si>
  <si>
    <t>Nothing; energy handled by solar.</t>
  </si>
  <si>
    <t>Deferred per cut list.</t>
  </si>
  <si>
    <t>Full dual-cycle (all 4 subsystems)</t>
  </si>
  <si>
    <t>Nothing; ship one subsystem loop.</t>
  </si>
  <si>
    <t>Phase 3 scope.</t>
  </si>
  <si>
    <t>Save / load persistence</t>
  </si>
  <si>
    <t>Nothing; session-only for jam.</t>
  </si>
  <si>
    <t>Browser build holds a session.</t>
  </si>
  <si>
    <t>Multiplayer</t>
  </si>
  <si>
    <t>Nothing; single-player jam build.</t>
  </si>
  <si>
    <t>First thing cut, always.</t>
  </si>
  <si>
    <t>NEVER CUT: one backyard subsystem reaching the automated, earning, documented state inside the 24-move crisis. That is the proof the model works and pays. Everything else is negotiable around it.</t>
  </si>
  <si>
    <t>SPRINT TRACKER — completion by sprint</t>
  </si>
  <si>
    <t>Counts Priority 1-3 items only (the shippable game). Priority 4-5 are polish and deferred. Formulas auto-update as Status changes on the Macro Chart.</t>
  </si>
  <si>
    <t>Window (2026)</t>
  </si>
  <si>
    <t>Planned items</t>
  </si>
  <si>
    <t>Built / done</t>
  </si>
  <si>
    <t>Percent complete</t>
  </si>
  <si>
    <t>Deliverable</t>
  </si>
  <si>
    <t>S1</t>
  </si>
  <si>
    <t>Jul 1 to 6</t>
  </si>
  <si>
    <t>GDD + itch page (this submission)</t>
  </si>
  <si>
    <t>Jul 8 to 14</t>
  </si>
  <si>
    <t>Playable 24-move loop, greybox</t>
  </si>
  <si>
    <t>Jul 15 to 28</t>
  </si>
  <si>
    <t>Full slice: art, enterprise layer, reveal</t>
  </si>
  <si>
    <t>Jul 29 to Aug 10</t>
  </si>
  <si>
    <t>Sound, page, trailer, submit</t>
  </si>
  <si>
    <t>ALL</t>
  </si>
  <si>
    <t>whole game</t>
  </si>
  <si>
    <t>LEGEND — pillars, priority, status</t>
  </si>
  <si>
    <t>DESIGN PILLARS (the 'Pillar served' column maps here)</t>
  </si>
  <si>
    <t>The mechanic is the message. Meaning is felt through play, never lectured.</t>
  </si>
  <si>
    <t>Produce for yourself first. Real, accurate systems under scarcity.</t>
  </si>
  <si>
    <t>Reputation is market demand. Earn, document, circulate the dollar.</t>
  </si>
  <si>
    <t>Hope over doom. Competence under pressure; collapse is the opening.</t>
  </si>
  <si>
    <t>PRIORITY (the 'Priority' column)</t>
  </si>
  <si>
    <t>1</t>
  </si>
  <si>
    <t>Never cut. The core proof. Ship this or there is no game.</t>
  </si>
  <si>
    <t>2</t>
  </si>
  <si>
    <t>High. Cut only in a real crunch; loses a key lesson.</t>
  </si>
  <si>
    <t>3</t>
  </si>
  <si>
    <t>Medium. The Tier 2 enterprise layer; cut before core.</t>
  </si>
  <si>
    <t>4</t>
  </si>
  <si>
    <t>Low. Polish and art; game is playable without it.</t>
  </si>
  <si>
    <t>5</t>
  </si>
  <si>
    <t>Deferred / cut. Post-jam or Phase 3.</t>
  </si>
  <si>
    <t>STATUS (the 'Status' column)</t>
  </si>
  <si>
    <t>Working in the current greybox engine.</t>
  </si>
  <si>
    <t>Working in the spatial build (map, tokens).</t>
  </si>
  <si>
    <t>Started, not complete.</t>
  </si>
  <si>
    <t>Planned, not yet started.</t>
  </si>
  <si>
    <t>Deferred out of the jam scope.</t>
  </si>
  <si>
    <t>How to use: when you fall behind, sort the Macro Chart by Priority descending and cut from the top. Read 'If cut, what else falls away' before removing any row. Update Status as you build; the Sprint Tracker percentages recalculate on their own.</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</si>
</sst>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5.0"/>
      <color rgb="FFFFFFFF"/>
      <name val="Arial"/>
    </font>
    <font/>
    <font>
      <i/>
      <sz val="9.0"/>
      <color rgb="FFFFFFFF"/>
      <name val="Arial"/>
    </font>
    <font>
      <b/>
      <sz val="10.0"/>
      <color rgb="FFFFFFFF"/>
      <name val="Arial"/>
    </font>
    <font>
      <sz val="10.0"/>
      <color rgb="FF222222"/>
      <name val="Arial"/>
    </font>
    <font>
      <b/>
      <sz val="10.0"/>
      <color rgb="FF222222"/>
      <name val="Arial"/>
    </font>
    <font>
      <b/>
      <sz val="10.0"/>
      <color rgb="FF2E7D32"/>
      <name val="Arial"/>
    </font>
    <font>
      <b/>
      <sz val="10.0"/>
      <color rgb="FF555555"/>
      <name val="Arial"/>
    </font>
    <font>
      <b/>
      <sz val="10.0"/>
      <color rgb="FFB8860B"/>
      <name val="Arial"/>
    </font>
    <font>
      <b/>
      <sz val="10.0"/>
      <color rgb="FFB0392B"/>
      <name val="Arial"/>
    </font>
    <font>
      <sz val="11.0"/>
      <color theme="1"/>
      <name val="Calibri"/>
    </font>
    <font>
      <b/>
      <sz val="11.0"/>
      <color rgb="FFFFFFFF"/>
      <name val="Arial"/>
    </font>
    <font>
      <sz val="9.0"/>
      <color rgb="FF444444"/>
      <name val="Arial"/>
    </font>
  </fonts>
  <fills count="11">
    <fill>
      <patternFill patternType="none"/>
    </fill>
    <fill>
      <patternFill patternType="lightGray"/>
    </fill>
    <fill>
      <patternFill patternType="solid">
        <fgColor rgb="FF1F3325"/>
        <bgColor rgb="FF1F3325"/>
      </patternFill>
    </fill>
    <fill>
      <patternFill patternType="solid">
        <fgColor rgb="FF2E4A34"/>
        <bgColor rgb="FF2E4A34"/>
      </patternFill>
    </fill>
    <fill>
      <patternFill patternType="solid">
        <fgColor rgb="FFF4C7B8"/>
        <bgColor rgb="FFF4C7B8"/>
      </patternFill>
    </fill>
    <fill>
      <patternFill patternType="solid">
        <fgColor rgb="FFFAFAF5"/>
        <bgColor rgb="FFFAFAF5"/>
      </patternFill>
    </fill>
    <fill>
      <patternFill patternType="solid">
        <fgColor rgb="FFE4EDDD"/>
        <bgColor rgb="FFE4EDDD"/>
      </patternFill>
    </fill>
    <fill>
      <patternFill patternType="solid">
        <fgColor rgb="FFEDE6D6"/>
        <bgColor rgb="FFEDE6D6"/>
      </patternFill>
    </fill>
    <fill>
      <patternFill patternType="solid">
        <fgColor rgb="FFEDEDED"/>
        <bgColor rgb="FFEDEDED"/>
      </patternFill>
    </fill>
    <fill>
      <patternFill patternType="solid">
        <fgColor rgb="FFE0E0E0"/>
        <bgColor rgb="FFE0E0E0"/>
      </patternFill>
    </fill>
    <fill>
      <patternFill patternType="solid">
        <fgColor rgb="FFE8722C"/>
        <bgColor rgb="FFE8722C"/>
      </patternFill>
    </fill>
  </fills>
  <borders count="8">
    <border/>
    <border>
      <left/>
      <top/>
      <bottom/>
    </border>
    <border>
      <top/>
      <bottom/>
    </border>
    <border>
      <right/>
      <top/>
      <bottom/>
    </border>
    <border>
      <left style="thin">
        <color rgb="FFC9C2AE"/>
      </left>
      <right style="thin">
        <color rgb="FFC9C2AE"/>
      </right>
      <top style="thin">
        <color rgb="FFC9C2AE"/>
      </top>
      <bottom style="thin">
        <color rgb="FFC9C2AE"/>
      </bottom>
    </border>
    <border>
      <left/>
      <right/>
      <top/>
      <bottom/>
    </border>
    <border>
      <left style="thin">
        <color rgb="FFC9C2AE"/>
      </left>
      <top style="thin">
        <color rgb="FFC9C2AE"/>
      </top>
      <bottom style="thin">
        <color rgb="FFC9C2AE"/>
      </bottom>
    </border>
    <border>
      <right style="thin">
        <color rgb="FFC9C2AE"/>
      </right>
      <top style="thin">
        <color rgb="FFC9C2AE"/>
      </top>
      <bottom style="thin">
        <color rgb="FFC9C2AE"/>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2" fillId="0" fontId="2" numFmtId="0" xfId="0" applyBorder="1" applyFont="1"/>
    <xf borderId="3" fillId="0" fontId="2" numFmtId="0" xfId="0" applyBorder="1" applyFont="1"/>
    <xf borderId="1" fillId="3" fontId="3" numFmtId="0" xfId="0" applyAlignment="1" applyBorder="1" applyFill="1" applyFont="1">
      <alignment horizontal="left" shrinkToFit="0" vertical="center" wrapText="0"/>
    </xf>
    <xf borderId="4" fillId="3" fontId="4" numFmtId="0" xfId="0" applyAlignment="1" applyBorder="1" applyFont="1">
      <alignment horizontal="center" shrinkToFit="0" vertical="center" wrapText="1"/>
    </xf>
    <xf borderId="4" fillId="0" fontId="5" numFmtId="0" xfId="0" applyAlignment="1" applyBorder="1" applyFont="1">
      <alignment horizontal="center" shrinkToFit="0" vertical="center" wrapText="0"/>
    </xf>
    <xf borderId="4" fillId="0" fontId="6" numFmtId="0" xfId="0" applyAlignment="1" applyBorder="1" applyFont="1">
      <alignment shrinkToFit="0" vertical="top" wrapText="1"/>
    </xf>
    <xf borderId="4" fillId="0" fontId="5" numFmtId="0" xfId="0" applyAlignment="1" applyBorder="1" applyFont="1">
      <alignment shrinkToFit="0" vertical="top" wrapText="1"/>
    </xf>
    <xf borderId="4" fillId="4" fontId="6" numFmtId="0" xfId="0" applyAlignment="1" applyBorder="1" applyFill="1" applyFont="1">
      <alignment horizontal="center" shrinkToFit="0" vertical="center" wrapText="0"/>
    </xf>
    <xf borderId="4" fillId="0" fontId="7" numFmtId="0" xfId="0" applyAlignment="1" applyBorder="1" applyFont="1">
      <alignment shrinkToFit="0" vertical="top" wrapText="1"/>
    </xf>
    <xf borderId="4" fillId="5" fontId="6" numFmtId="0" xfId="0" applyAlignment="1" applyBorder="1" applyFill="1" applyFont="1">
      <alignment shrinkToFit="0" vertical="top" wrapText="1"/>
    </xf>
    <xf borderId="4" fillId="5" fontId="5" numFmtId="0" xfId="0" applyAlignment="1" applyBorder="1" applyFont="1">
      <alignment shrinkToFit="0" vertical="top" wrapText="1"/>
    </xf>
    <xf borderId="4" fillId="0" fontId="8" numFmtId="0" xfId="0" applyAlignment="1" applyBorder="1" applyFont="1">
      <alignment shrinkToFit="0" vertical="top" wrapText="1"/>
    </xf>
    <xf borderId="4" fillId="0" fontId="9" numFmtId="0" xfId="0" applyAlignment="1" applyBorder="1" applyFont="1">
      <alignment shrinkToFit="0" vertical="top" wrapText="1"/>
    </xf>
    <xf borderId="4" fillId="6" fontId="6" numFmtId="0" xfId="0" applyAlignment="1" applyBorder="1" applyFill="1" applyFont="1">
      <alignment horizontal="center" shrinkToFit="0" vertical="center" wrapText="0"/>
    </xf>
    <xf borderId="4" fillId="7" fontId="6" numFmtId="0" xfId="0" applyAlignment="1" applyBorder="1" applyFill="1" applyFont="1">
      <alignment horizontal="center" shrinkToFit="0" vertical="center" wrapText="0"/>
    </xf>
    <xf borderId="4" fillId="8" fontId="6" numFmtId="0" xfId="0" applyAlignment="1" applyBorder="1" applyFill="1" applyFont="1">
      <alignment horizontal="center" shrinkToFit="0" vertical="center" wrapText="0"/>
    </xf>
    <xf borderId="4" fillId="9" fontId="6" numFmtId="0" xfId="0" applyAlignment="1" applyBorder="1" applyFill="1" applyFont="1">
      <alignment horizontal="center" shrinkToFit="0" vertical="center" wrapText="0"/>
    </xf>
    <xf borderId="4" fillId="0" fontId="10" numFmtId="0" xfId="0" applyAlignment="1" applyBorder="1" applyFont="1">
      <alignment shrinkToFit="0" vertical="top" wrapText="1"/>
    </xf>
    <xf borderId="1" fillId="10" fontId="4" numFmtId="0" xfId="0" applyAlignment="1" applyBorder="1" applyFill="1" applyFont="1">
      <alignment horizontal="left" shrinkToFit="0" vertical="center" wrapText="1"/>
    </xf>
    <xf borderId="1" fillId="2" fontId="1" numFmtId="0" xfId="0" applyAlignment="1" applyBorder="1" applyFont="1">
      <alignment shrinkToFit="0" vertical="center" wrapText="0"/>
    </xf>
    <xf borderId="1" fillId="3" fontId="3" numFmtId="0" xfId="0" applyAlignment="1" applyBorder="1" applyFont="1">
      <alignment shrinkToFit="0" vertical="center" wrapText="0"/>
    </xf>
    <xf borderId="4" fillId="0" fontId="6" numFmtId="0" xfId="0" applyAlignment="1" applyBorder="1" applyFont="1">
      <alignment horizontal="center" shrinkToFit="0" vertical="center" wrapText="0"/>
    </xf>
    <xf borderId="4" fillId="0" fontId="5" numFmtId="9" xfId="0" applyAlignment="1" applyBorder="1" applyFont="1" applyNumberFormat="1">
      <alignment horizontal="center" shrinkToFit="0" vertical="center" wrapText="0"/>
    </xf>
    <xf borderId="5" fillId="10" fontId="4" numFmtId="0" xfId="0" applyAlignment="1" applyBorder="1" applyFont="1">
      <alignment shrinkToFit="0" vertical="bottom" wrapText="0"/>
    </xf>
    <xf borderId="4" fillId="10" fontId="4" numFmtId="0" xfId="0" applyAlignment="1" applyBorder="1" applyFont="1">
      <alignment horizontal="center" shrinkToFit="0" vertical="center" wrapText="0"/>
    </xf>
    <xf borderId="4" fillId="10" fontId="4" numFmtId="9" xfId="0" applyAlignment="1" applyBorder="1" applyFont="1" applyNumberFormat="1">
      <alignment horizontal="center" shrinkToFit="0" vertical="center" wrapText="0"/>
    </xf>
    <xf borderId="5" fillId="10" fontId="11" numFmtId="0" xfId="0" applyAlignment="1" applyBorder="1" applyFont="1">
      <alignment shrinkToFit="0" vertical="bottom" wrapText="0"/>
    </xf>
    <xf borderId="1" fillId="3" fontId="12" numFmtId="0" xfId="0" applyAlignment="1" applyBorder="1" applyFont="1">
      <alignment shrinkToFit="0" vertical="center" wrapText="0"/>
    </xf>
    <xf borderId="6" fillId="0" fontId="5" numFmtId="0" xfId="0" applyAlignment="1" applyBorder="1" applyFont="1">
      <alignment shrinkToFit="0" vertical="top" wrapText="1"/>
    </xf>
    <xf borderId="7" fillId="0" fontId="2" numFmtId="0" xfId="0" applyBorder="1" applyFont="1"/>
    <xf borderId="4" fillId="0" fontId="7" numFmtId="0" xfId="0" applyAlignment="1" applyBorder="1" applyFont="1">
      <alignment horizontal="center" shrinkToFit="0" vertical="center" wrapText="0"/>
    </xf>
    <xf borderId="4" fillId="0" fontId="9" numFmtId="0" xfId="0" applyAlignment="1" applyBorder="1" applyFont="1">
      <alignment horizontal="center" shrinkToFit="0" vertical="center" wrapText="0"/>
    </xf>
    <xf borderId="4" fillId="0" fontId="8" numFmtId="0" xfId="0" applyAlignment="1" applyBorder="1" applyFont="1">
      <alignment horizontal="center" shrinkToFit="0" vertical="center" wrapText="0"/>
    </xf>
    <xf borderId="4" fillId="0" fontId="10" numFmtId="0" xfId="0" applyAlignment="1" applyBorder="1" applyFont="1">
      <alignment horizontal="center" shrinkToFit="0" vertical="center" wrapText="0"/>
    </xf>
    <xf borderId="0" fillId="0" fontId="1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4.0"/>
    <col customWidth="1" min="2" max="2" width="30.0"/>
    <col customWidth="1" min="3" max="3" width="16.0"/>
    <col customWidth="1" min="4" max="4" width="9.0"/>
    <col customWidth="1" min="5" max="5" width="11.0"/>
    <col customWidth="1" min="6" max="6" width="9.0"/>
    <col customWidth="1" min="7" max="7" width="8.0"/>
    <col customWidth="1" min="8" max="8" width="13.0"/>
    <col customWidth="1" min="9" max="9" width="34.0"/>
    <col customWidth="1" min="10" max="10" width="30.0"/>
    <col customWidth="1" min="11" max="26" width="8.71"/>
  </cols>
  <sheetData>
    <row r="1" ht="30.0" customHeight="1">
      <c r="A1" s="1" t="s">
        <v>0</v>
      </c>
      <c r="B1" s="2"/>
      <c r="C1" s="2"/>
      <c r="D1" s="2"/>
      <c r="E1" s="2"/>
      <c r="F1" s="2"/>
      <c r="G1" s="2"/>
      <c r="H1" s="2"/>
      <c r="I1" s="2"/>
      <c r="J1" s="3"/>
    </row>
    <row r="2" ht="19.5" customHeight="1">
      <c r="A2" s="4" t="s">
        <v>1</v>
      </c>
      <c r="B2" s="2"/>
      <c r="C2" s="2"/>
      <c r="D2" s="2"/>
      <c r="E2" s="2"/>
      <c r="F2" s="2"/>
      <c r="G2" s="2"/>
      <c r="H2" s="2"/>
      <c r="I2" s="2"/>
      <c r="J2" s="3"/>
    </row>
    <row r="4" ht="30.0" customHeight="1">
      <c r="A4" s="5" t="s">
        <v>2</v>
      </c>
      <c r="B4" s="5" t="s">
        <v>3</v>
      </c>
      <c r="C4" s="5" t="s">
        <v>4</v>
      </c>
      <c r="D4" s="5" t="s">
        <v>5</v>
      </c>
      <c r="E4" s="5" t="s">
        <v>6</v>
      </c>
      <c r="F4" s="5" t="s">
        <v>7</v>
      </c>
      <c r="G4" s="5" t="s">
        <v>8</v>
      </c>
      <c r="H4" s="5" t="s">
        <v>9</v>
      </c>
      <c r="I4" s="5" t="s">
        <v>10</v>
      </c>
      <c r="J4" s="5" t="s">
        <v>11</v>
      </c>
    </row>
    <row r="5" ht="30.0" customHeight="1">
      <c r="A5" s="6">
        <v>1.0</v>
      </c>
      <c r="B5" s="7" t="s">
        <v>12</v>
      </c>
      <c r="C5" s="8" t="s">
        <v>13</v>
      </c>
      <c r="D5" s="6" t="s">
        <v>14</v>
      </c>
      <c r="E5" s="9">
        <v>1.0</v>
      </c>
      <c r="F5" s="6" t="s">
        <v>15</v>
      </c>
      <c r="G5" s="6">
        <v>3.0</v>
      </c>
      <c r="H5" s="10" t="s">
        <v>16</v>
      </c>
      <c r="I5" s="8" t="s">
        <v>17</v>
      </c>
      <c r="J5" s="8" t="s">
        <v>18</v>
      </c>
    </row>
    <row r="6" ht="30.0" customHeight="1">
      <c r="A6" s="6">
        <v>2.0</v>
      </c>
      <c r="B6" s="11" t="s">
        <v>19</v>
      </c>
      <c r="C6" s="12" t="s">
        <v>13</v>
      </c>
      <c r="D6" s="6" t="s">
        <v>14</v>
      </c>
      <c r="E6" s="9">
        <v>1.0</v>
      </c>
      <c r="F6" s="6" t="s">
        <v>20</v>
      </c>
      <c r="G6" s="6">
        <v>2.0</v>
      </c>
      <c r="H6" s="10" t="s">
        <v>16</v>
      </c>
      <c r="I6" s="12" t="s">
        <v>21</v>
      </c>
      <c r="J6" s="12" t="s">
        <v>22</v>
      </c>
    </row>
    <row r="7" ht="30.0" customHeight="1">
      <c r="A7" s="6">
        <v>3.0</v>
      </c>
      <c r="B7" s="7" t="s">
        <v>23</v>
      </c>
      <c r="C7" s="8" t="s">
        <v>13</v>
      </c>
      <c r="D7" s="6" t="s">
        <v>14</v>
      </c>
      <c r="E7" s="9">
        <v>1.0</v>
      </c>
      <c r="F7" s="6" t="s">
        <v>20</v>
      </c>
      <c r="G7" s="6">
        <v>3.0</v>
      </c>
      <c r="H7" s="13" t="s">
        <v>24</v>
      </c>
      <c r="I7" s="8" t="s">
        <v>25</v>
      </c>
      <c r="J7" s="8" t="s">
        <v>26</v>
      </c>
    </row>
    <row r="8" ht="30.0" customHeight="1">
      <c r="A8" s="6">
        <v>4.0</v>
      </c>
      <c r="B8" s="11" t="s">
        <v>27</v>
      </c>
      <c r="C8" s="12" t="s">
        <v>28</v>
      </c>
      <c r="D8" s="6" t="s">
        <v>14</v>
      </c>
      <c r="E8" s="9">
        <v>1.0</v>
      </c>
      <c r="F8" s="6" t="s">
        <v>29</v>
      </c>
      <c r="G8" s="6">
        <v>2.0</v>
      </c>
      <c r="H8" s="14" t="s">
        <v>30</v>
      </c>
      <c r="I8" s="12" t="s">
        <v>31</v>
      </c>
      <c r="J8" s="12" t="s">
        <v>32</v>
      </c>
    </row>
    <row r="9" ht="30.0" customHeight="1">
      <c r="A9" s="6">
        <v>5.0</v>
      </c>
      <c r="B9" s="7" t="s">
        <v>33</v>
      </c>
      <c r="C9" s="8" t="s">
        <v>34</v>
      </c>
      <c r="D9" s="6" t="s">
        <v>14</v>
      </c>
      <c r="E9" s="9">
        <v>1.0</v>
      </c>
      <c r="F9" s="6" t="s">
        <v>15</v>
      </c>
      <c r="G9" s="6">
        <v>1.0</v>
      </c>
      <c r="H9" s="10" t="s">
        <v>16</v>
      </c>
      <c r="I9" s="8" t="s">
        <v>35</v>
      </c>
      <c r="J9" s="8" t="s">
        <v>36</v>
      </c>
    </row>
    <row r="10" ht="30.0" customHeight="1">
      <c r="A10" s="6">
        <v>6.0</v>
      </c>
      <c r="B10" s="11" t="s">
        <v>37</v>
      </c>
      <c r="C10" s="12" t="s">
        <v>34</v>
      </c>
      <c r="D10" s="6" t="s">
        <v>14</v>
      </c>
      <c r="E10" s="9">
        <v>1.0</v>
      </c>
      <c r="F10" s="6" t="s">
        <v>15</v>
      </c>
      <c r="G10" s="6">
        <v>2.0</v>
      </c>
      <c r="H10" s="10" t="s">
        <v>16</v>
      </c>
      <c r="I10" s="12" t="s">
        <v>38</v>
      </c>
      <c r="J10" s="12"/>
    </row>
    <row r="11" ht="30.0" customHeight="1">
      <c r="A11" s="6">
        <v>7.0</v>
      </c>
      <c r="B11" s="7" t="s">
        <v>39</v>
      </c>
      <c r="C11" s="8" t="s">
        <v>34</v>
      </c>
      <c r="D11" s="6" t="s">
        <v>14</v>
      </c>
      <c r="E11" s="9">
        <v>1.0</v>
      </c>
      <c r="F11" s="6" t="s">
        <v>15</v>
      </c>
      <c r="G11" s="6">
        <v>2.0</v>
      </c>
      <c r="H11" s="10" t="s">
        <v>16</v>
      </c>
      <c r="I11" s="8" t="s">
        <v>40</v>
      </c>
      <c r="J11" s="8"/>
    </row>
    <row r="12" ht="30.0" customHeight="1">
      <c r="A12" s="6">
        <v>8.0</v>
      </c>
      <c r="B12" s="11" t="s">
        <v>41</v>
      </c>
      <c r="C12" s="12" t="s">
        <v>42</v>
      </c>
      <c r="D12" s="6" t="s">
        <v>14</v>
      </c>
      <c r="E12" s="9">
        <v>1.0</v>
      </c>
      <c r="F12" s="6" t="s">
        <v>15</v>
      </c>
      <c r="G12" s="6">
        <v>3.0</v>
      </c>
      <c r="H12" s="10" t="s">
        <v>16</v>
      </c>
      <c r="I12" s="12" t="s">
        <v>43</v>
      </c>
      <c r="J12" s="12"/>
    </row>
    <row r="13" ht="30.0" customHeight="1">
      <c r="A13" s="6">
        <v>9.0</v>
      </c>
      <c r="B13" s="7" t="s">
        <v>44</v>
      </c>
      <c r="C13" s="8" t="s">
        <v>42</v>
      </c>
      <c r="D13" s="6" t="s">
        <v>14</v>
      </c>
      <c r="E13" s="9">
        <v>1.0</v>
      </c>
      <c r="F13" s="6" t="s">
        <v>15</v>
      </c>
      <c r="G13" s="6">
        <v>2.0</v>
      </c>
      <c r="H13" s="10" t="s">
        <v>16</v>
      </c>
      <c r="I13" s="8" t="s">
        <v>45</v>
      </c>
      <c r="J13" s="8" t="s">
        <v>46</v>
      </c>
    </row>
    <row r="14" ht="30.0" customHeight="1">
      <c r="A14" s="6">
        <v>10.0</v>
      </c>
      <c r="B14" s="11" t="s">
        <v>47</v>
      </c>
      <c r="C14" s="12" t="s">
        <v>13</v>
      </c>
      <c r="D14" s="6" t="s">
        <v>14</v>
      </c>
      <c r="E14" s="9">
        <v>1.0</v>
      </c>
      <c r="F14" s="6" t="s">
        <v>20</v>
      </c>
      <c r="G14" s="6">
        <v>1.0</v>
      </c>
      <c r="H14" s="10" t="s">
        <v>16</v>
      </c>
      <c r="I14" s="12" t="s">
        <v>48</v>
      </c>
      <c r="J14" s="12" t="s">
        <v>49</v>
      </c>
    </row>
    <row r="15" ht="30.0" customHeight="1">
      <c r="A15" s="6">
        <v>11.0</v>
      </c>
      <c r="B15" s="7" t="s">
        <v>50</v>
      </c>
      <c r="C15" s="8" t="s">
        <v>51</v>
      </c>
      <c r="D15" s="6" t="s">
        <v>52</v>
      </c>
      <c r="E15" s="15">
        <v>2.0</v>
      </c>
      <c r="F15" s="6" t="s">
        <v>15</v>
      </c>
      <c r="G15" s="6">
        <v>3.0</v>
      </c>
      <c r="H15" s="13" t="s">
        <v>24</v>
      </c>
      <c r="I15" s="8" t="s">
        <v>53</v>
      </c>
      <c r="J15" s="8" t="s">
        <v>54</v>
      </c>
    </row>
    <row r="16" ht="30.0" customHeight="1">
      <c r="A16" s="6">
        <v>12.0</v>
      </c>
      <c r="B16" s="11" t="s">
        <v>55</v>
      </c>
      <c r="C16" s="12" t="s">
        <v>51</v>
      </c>
      <c r="D16" s="6" t="s">
        <v>52</v>
      </c>
      <c r="E16" s="15">
        <v>2.0</v>
      </c>
      <c r="F16" s="6" t="s">
        <v>20</v>
      </c>
      <c r="G16" s="6">
        <v>3.0</v>
      </c>
      <c r="H16" s="13" t="s">
        <v>24</v>
      </c>
      <c r="I16" s="12" t="s">
        <v>56</v>
      </c>
      <c r="J16" s="12" t="s">
        <v>57</v>
      </c>
    </row>
    <row r="17" ht="30.0" customHeight="1">
      <c r="A17" s="6">
        <v>13.0</v>
      </c>
      <c r="B17" s="7" t="s">
        <v>58</v>
      </c>
      <c r="C17" s="8" t="s">
        <v>51</v>
      </c>
      <c r="D17" s="6" t="s">
        <v>52</v>
      </c>
      <c r="E17" s="15">
        <v>2.0</v>
      </c>
      <c r="F17" s="6" t="s">
        <v>20</v>
      </c>
      <c r="G17" s="6">
        <v>2.0</v>
      </c>
      <c r="H17" s="13" t="s">
        <v>24</v>
      </c>
      <c r="I17" s="8" t="s">
        <v>59</v>
      </c>
      <c r="J17" s="8"/>
    </row>
    <row r="18" ht="30.0" customHeight="1">
      <c r="A18" s="6">
        <v>14.0</v>
      </c>
      <c r="B18" s="11" t="s">
        <v>60</v>
      </c>
      <c r="C18" s="12" t="s">
        <v>61</v>
      </c>
      <c r="D18" s="6" t="s">
        <v>14</v>
      </c>
      <c r="E18" s="9">
        <v>1.0</v>
      </c>
      <c r="F18" s="6" t="s">
        <v>20</v>
      </c>
      <c r="G18" s="6">
        <v>2.0</v>
      </c>
      <c r="H18" s="10" t="s">
        <v>16</v>
      </c>
      <c r="I18" s="12" t="s">
        <v>62</v>
      </c>
      <c r="J18" s="12" t="s">
        <v>63</v>
      </c>
    </row>
    <row r="19" ht="30.0" customHeight="1">
      <c r="A19" s="6">
        <v>15.0</v>
      </c>
      <c r="B19" s="7" t="s">
        <v>64</v>
      </c>
      <c r="C19" s="8" t="s">
        <v>61</v>
      </c>
      <c r="D19" s="6" t="s">
        <v>14</v>
      </c>
      <c r="E19" s="15">
        <v>2.0</v>
      </c>
      <c r="F19" s="6" t="s">
        <v>20</v>
      </c>
      <c r="G19" s="6">
        <v>2.0</v>
      </c>
      <c r="H19" s="10" t="s">
        <v>16</v>
      </c>
      <c r="I19" s="8" t="s">
        <v>65</v>
      </c>
      <c r="J19" s="8" t="s">
        <v>66</v>
      </c>
    </row>
    <row r="20" ht="30.0" customHeight="1">
      <c r="A20" s="6">
        <v>16.0</v>
      </c>
      <c r="B20" s="11" t="s">
        <v>67</v>
      </c>
      <c r="C20" s="12" t="s">
        <v>61</v>
      </c>
      <c r="D20" s="6" t="s">
        <v>14</v>
      </c>
      <c r="E20" s="9">
        <v>1.0</v>
      </c>
      <c r="F20" s="6" t="s">
        <v>15</v>
      </c>
      <c r="G20" s="6">
        <v>3.0</v>
      </c>
      <c r="H20" s="10" t="s">
        <v>16</v>
      </c>
      <c r="I20" s="12" t="s">
        <v>68</v>
      </c>
      <c r="J20" s="12" t="s">
        <v>69</v>
      </c>
    </row>
    <row r="21" ht="30.0" customHeight="1">
      <c r="A21" s="6">
        <v>17.0</v>
      </c>
      <c r="B21" s="7" t="s">
        <v>70</v>
      </c>
      <c r="C21" s="8" t="s">
        <v>13</v>
      </c>
      <c r="D21" s="6" t="s">
        <v>14</v>
      </c>
      <c r="E21" s="15">
        <v>2.0</v>
      </c>
      <c r="F21" s="6" t="s">
        <v>15</v>
      </c>
      <c r="G21" s="6">
        <v>1.0</v>
      </c>
      <c r="H21" s="10" t="s">
        <v>16</v>
      </c>
      <c r="I21" s="8" t="s">
        <v>71</v>
      </c>
      <c r="J21" s="8" t="s">
        <v>72</v>
      </c>
    </row>
    <row r="22" ht="30.0" customHeight="1">
      <c r="A22" s="6">
        <v>18.0</v>
      </c>
      <c r="B22" s="11" t="s">
        <v>73</v>
      </c>
      <c r="C22" s="12" t="s">
        <v>74</v>
      </c>
      <c r="D22" s="6" t="s">
        <v>52</v>
      </c>
      <c r="E22" s="15">
        <v>2.0</v>
      </c>
      <c r="F22" s="6" t="s">
        <v>75</v>
      </c>
      <c r="G22" s="6">
        <v>3.0</v>
      </c>
      <c r="H22" s="13" t="s">
        <v>24</v>
      </c>
      <c r="I22" s="12" t="s">
        <v>76</v>
      </c>
      <c r="J22" s="12" t="s">
        <v>77</v>
      </c>
    </row>
    <row r="23" ht="30.0" customHeight="1">
      <c r="A23" s="6">
        <v>19.0</v>
      </c>
      <c r="B23" s="7" t="s">
        <v>78</v>
      </c>
      <c r="C23" s="8" t="s">
        <v>74</v>
      </c>
      <c r="D23" s="6" t="s">
        <v>52</v>
      </c>
      <c r="E23" s="15">
        <v>2.0</v>
      </c>
      <c r="F23" s="6" t="s">
        <v>75</v>
      </c>
      <c r="G23" s="6">
        <v>3.0</v>
      </c>
      <c r="H23" s="13" t="s">
        <v>24</v>
      </c>
      <c r="I23" s="8" t="s">
        <v>79</v>
      </c>
      <c r="J23" s="8" t="s">
        <v>80</v>
      </c>
    </row>
    <row r="24" ht="30.0" customHeight="1">
      <c r="A24" s="6">
        <v>20.0</v>
      </c>
      <c r="B24" s="11" t="s">
        <v>81</v>
      </c>
      <c r="C24" s="12" t="s">
        <v>74</v>
      </c>
      <c r="D24" s="6" t="s">
        <v>52</v>
      </c>
      <c r="E24" s="15">
        <v>2.0</v>
      </c>
      <c r="F24" s="6" t="s">
        <v>75</v>
      </c>
      <c r="G24" s="6">
        <v>2.0</v>
      </c>
      <c r="H24" s="13" t="s">
        <v>24</v>
      </c>
      <c r="I24" s="12" t="s">
        <v>82</v>
      </c>
      <c r="J24" s="12" t="s">
        <v>83</v>
      </c>
    </row>
    <row r="25" ht="30.0" customHeight="1">
      <c r="A25" s="6">
        <v>21.0</v>
      </c>
      <c r="B25" s="7" t="s">
        <v>84</v>
      </c>
      <c r="C25" s="8" t="s">
        <v>85</v>
      </c>
      <c r="D25" s="6" t="s">
        <v>52</v>
      </c>
      <c r="E25" s="15">
        <v>2.0</v>
      </c>
      <c r="F25" s="6" t="s">
        <v>20</v>
      </c>
      <c r="G25" s="6">
        <v>3.0</v>
      </c>
      <c r="H25" s="10" t="s">
        <v>86</v>
      </c>
      <c r="I25" s="8" t="s">
        <v>87</v>
      </c>
      <c r="J25" s="8" t="s">
        <v>88</v>
      </c>
    </row>
    <row r="26" ht="30.0" customHeight="1">
      <c r="A26" s="6">
        <v>22.0</v>
      </c>
      <c r="B26" s="11" t="s">
        <v>89</v>
      </c>
      <c r="C26" s="12" t="s">
        <v>85</v>
      </c>
      <c r="D26" s="6" t="s">
        <v>52</v>
      </c>
      <c r="E26" s="15">
        <v>2.0</v>
      </c>
      <c r="F26" s="6" t="s">
        <v>20</v>
      </c>
      <c r="G26" s="6">
        <v>2.0</v>
      </c>
      <c r="H26" s="10" t="s">
        <v>86</v>
      </c>
      <c r="I26" s="12" t="s">
        <v>90</v>
      </c>
      <c r="J26" s="12" t="s">
        <v>91</v>
      </c>
    </row>
    <row r="27" ht="30.0" customHeight="1">
      <c r="A27" s="6">
        <v>23.0</v>
      </c>
      <c r="B27" s="7" t="s">
        <v>92</v>
      </c>
      <c r="C27" s="8" t="s">
        <v>93</v>
      </c>
      <c r="D27" s="6" t="s">
        <v>52</v>
      </c>
      <c r="E27" s="15">
        <v>2.0</v>
      </c>
      <c r="F27" s="6" t="s">
        <v>29</v>
      </c>
      <c r="G27" s="6">
        <v>4.0</v>
      </c>
      <c r="H27" s="13" t="s">
        <v>24</v>
      </c>
      <c r="I27" s="8" t="s">
        <v>94</v>
      </c>
      <c r="J27" s="8" t="s">
        <v>95</v>
      </c>
    </row>
    <row r="28" ht="30.0" customHeight="1">
      <c r="A28" s="6">
        <v>24.0</v>
      </c>
      <c r="B28" s="11" t="s">
        <v>96</v>
      </c>
      <c r="C28" s="12" t="s">
        <v>97</v>
      </c>
      <c r="D28" s="6" t="s">
        <v>98</v>
      </c>
      <c r="E28" s="16">
        <v>3.0</v>
      </c>
      <c r="F28" s="6" t="s">
        <v>29</v>
      </c>
      <c r="G28" s="6">
        <v>2.0</v>
      </c>
      <c r="H28" s="13" t="s">
        <v>24</v>
      </c>
      <c r="I28" s="12" t="s">
        <v>99</v>
      </c>
      <c r="J28" s="12"/>
    </row>
    <row r="29" ht="30.0" customHeight="1">
      <c r="A29" s="6">
        <v>25.0</v>
      </c>
      <c r="B29" s="7" t="s">
        <v>100</v>
      </c>
      <c r="C29" s="8" t="s">
        <v>74</v>
      </c>
      <c r="D29" s="6" t="s">
        <v>52</v>
      </c>
      <c r="E29" s="16">
        <v>3.0</v>
      </c>
      <c r="F29" s="6" t="s">
        <v>75</v>
      </c>
      <c r="G29" s="6">
        <v>3.0</v>
      </c>
      <c r="H29" s="13" t="s">
        <v>24</v>
      </c>
      <c r="I29" s="8" t="s">
        <v>101</v>
      </c>
      <c r="J29" s="8" t="s">
        <v>102</v>
      </c>
    </row>
    <row r="30" ht="30.0" customHeight="1">
      <c r="A30" s="6">
        <v>26.0</v>
      </c>
      <c r="B30" s="11" t="s">
        <v>103</v>
      </c>
      <c r="C30" s="12" t="s">
        <v>42</v>
      </c>
      <c r="D30" s="6" t="s">
        <v>52</v>
      </c>
      <c r="E30" s="17">
        <v>4.0</v>
      </c>
      <c r="F30" s="6" t="s">
        <v>15</v>
      </c>
      <c r="G30" s="6">
        <v>2.0</v>
      </c>
      <c r="H30" s="13" t="s">
        <v>24</v>
      </c>
      <c r="I30" s="12" t="s">
        <v>104</v>
      </c>
      <c r="J30" s="12" t="s">
        <v>105</v>
      </c>
    </row>
    <row r="31" ht="30.0" customHeight="1">
      <c r="A31" s="6">
        <v>27.0</v>
      </c>
      <c r="B31" s="7" t="s">
        <v>106</v>
      </c>
      <c r="C31" s="8" t="s">
        <v>61</v>
      </c>
      <c r="D31" s="6" t="s">
        <v>107</v>
      </c>
      <c r="E31" s="18">
        <v>5.0</v>
      </c>
      <c r="F31" s="6" t="s">
        <v>20</v>
      </c>
      <c r="G31" s="6">
        <v>5.0</v>
      </c>
      <c r="H31" s="19" t="s">
        <v>108</v>
      </c>
      <c r="I31" s="8" t="s">
        <v>109</v>
      </c>
      <c r="J31" s="8" t="s">
        <v>110</v>
      </c>
    </row>
    <row r="32" ht="30.0" customHeight="1">
      <c r="A32" s="6">
        <v>28.0</v>
      </c>
      <c r="B32" s="11" t="s">
        <v>111</v>
      </c>
      <c r="C32" s="12" t="s">
        <v>112</v>
      </c>
      <c r="D32" s="6" t="s">
        <v>107</v>
      </c>
      <c r="E32" s="18">
        <v>5.0</v>
      </c>
      <c r="F32" s="6" t="s">
        <v>15</v>
      </c>
      <c r="G32" s="6">
        <v>3.0</v>
      </c>
      <c r="H32" s="19" t="s">
        <v>108</v>
      </c>
      <c r="I32" s="12" t="s">
        <v>113</v>
      </c>
      <c r="J32" s="12" t="s">
        <v>114</v>
      </c>
    </row>
    <row r="33" ht="30.0" customHeight="1">
      <c r="A33" s="6">
        <v>29.0</v>
      </c>
      <c r="B33" s="7" t="s">
        <v>115</v>
      </c>
      <c r="C33" s="8" t="s">
        <v>51</v>
      </c>
      <c r="D33" s="6" t="s">
        <v>107</v>
      </c>
      <c r="E33" s="18">
        <v>5.0</v>
      </c>
      <c r="F33" s="6" t="s">
        <v>15</v>
      </c>
      <c r="G33" s="6">
        <v>5.0</v>
      </c>
      <c r="H33" s="19" t="s">
        <v>108</v>
      </c>
      <c r="I33" s="8" t="s">
        <v>116</v>
      </c>
      <c r="J33" s="8" t="s">
        <v>117</v>
      </c>
    </row>
    <row r="34" ht="30.0" customHeight="1">
      <c r="A34" s="6">
        <v>30.0</v>
      </c>
      <c r="B34" s="11" t="s">
        <v>118</v>
      </c>
      <c r="C34" s="12" t="s">
        <v>13</v>
      </c>
      <c r="D34" s="6" t="s">
        <v>107</v>
      </c>
      <c r="E34" s="18">
        <v>5.0</v>
      </c>
      <c r="F34" s="6" t="s">
        <v>20</v>
      </c>
      <c r="G34" s="6">
        <v>3.0</v>
      </c>
      <c r="H34" s="19" t="s">
        <v>108</v>
      </c>
      <c r="I34" s="12" t="s">
        <v>119</v>
      </c>
      <c r="J34" s="12" t="s">
        <v>120</v>
      </c>
    </row>
    <row r="35" ht="30.0" customHeight="1">
      <c r="A35" s="6">
        <v>31.0</v>
      </c>
      <c r="B35" s="7" t="s">
        <v>121</v>
      </c>
      <c r="C35" s="8" t="s">
        <v>13</v>
      </c>
      <c r="D35" s="6" t="s">
        <v>107</v>
      </c>
      <c r="E35" s="18">
        <v>5.0</v>
      </c>
      <c r="F35" s="6" t="s">
        <v>20</v>
      </c>
      <c r="G35" s="6">
        <v>5.0</v>
      </c>
      <c r="H35" s="19" t="s">
        <v>108</v>
      </c>
      <c r="I35" s="8" t="s">
        <v>122</v>
      </c>
      <c r="J35" s="8" t="s">
        <v>123</v>
      </c>
    </row>
    <row r="36" ht="30.0" customHeight="1">
      <c r="A36" s="20" t="s">
        <v>124</v>
      </c>
      <c r="B36" s="2"/>
      <c r="C36" s="2"/>
      <c r="D36" s="2"/>
      <c r="E36" s="2"/>
      <c r="F36" s="2"/>
      <c r="G36" s="2"/>
      <c r="H36" s="2"/>
      <c r="I36" s="2"/>
      <c r="J36" s="3"/>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J1"/>
    <mergeCell ref="A2:J2"/>
    <mergeCell ref="A36:J3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20.0"/>
    <col customWidth="1" min="3" max="3" width="14.0"/>
    <col customWidth="1" min="4" max="4" width="12.0"/>
    <col customWidth="1" min="5" max="5" width="16.0"/>
    <col customWidth="1" min="6" max="6" width="34.0"/>
    <col customWidth="1" min="7" max="26" width="8.71"/>
  </cols>
  <sheetData>
    <row r="1" ht="27.75" customHeight="1">
      <c r="A1" s="21" t="s">
        <v>125</v>
      </c>
      <c r="B1" s="2"/>
      <c r="C1" s="2"/>
      <c r="D1" s="2"/>
      <c r="E1" s="2"/>
      <c r="F1" s="3"/>
    </row>
    <row r="2" ht="18.0" customHeight="1">
      <c r="A2" s="22" t="s">
        <v>126</v>
      </c>
      <c r="B2" s="2"/>
      <c r="C2" s="2"/>
      <c r="D2" s="2"/>
      <c r="E2" s="2"/>
      <c r="F2" s="3"/>
    </row>
    <row r="4" ht="25.5" customHeight="1">
      <c r="A4" s="5" t="s">
        <v>5</v>
      </c>
      <c r="B4" s="5" t="s">
        <v>127</v>
      </c>
      <c r="C4" s="5" t="s">
        <v>128</v>
      </c>
      <c r="D4" s="5" t="s">
        <v>129</v>
      </c>
      <c r="E4" s="5" t="s">
        <v>130</v>
      </c>
      <c r="F4" s="5" t="s">
        <v>131</v>
      </c>
    </row>
    <row r="5" ht="24.0" customHeight="1">
      <c r="A5" s="23" t="s">
        <v>132</v>
      </c>
      <c r="B5" s="8" t="s">
        <v>133</v>
      </c>
      <c r="C5" s="6">
        <f>COUNTIFS('Macro Chart'!$D$5:$D$35,A5,'Macro Chart'!$E$5:$E$35,"&lt;=3")</f>
        <v>0</v>
      </c>
      <c r="D5" s="6">
        <f>COUNTIFS('Macro Chart'!$D$5:$D$35,A5,'Macro Chart'!$E$5:$E$35,"&lt;=3",'Macro Chart'!$H$5:$H$35,"Built*")</f>
        <v>0</v>
      </c>
      <c r="E5" s="24" t="str">
        <f t="shared" ref="E5:E9" si="1">IF(C5=0,"-",D5/C5)</f>
        <v>-</v>
      </c>
      <c r="F5" s="8" t="s">
        <v>134</v>
      </c>
    </row>
    <row r="6" ht="24.0" customHeight="1">
      <c r="A6" s="23" t="s">
        <v>14</v>
      </c>
      <c r="B6" s="8" t="s">
        <v>135</v>
      </c>
      <c r="C6" s="6">
        <f>COUNTIFS('Macro Chart'!$D$5:$D$35,A6,'Macro Chart'!$E$5:$E$35,"&lt;=3")</f>
        <v>14</v>
      </c>
      <c r="D6" s="6">
        <f>COUNTIFS('Macro Chart'!$D$5:$D$35,A6,'Macro Chart'!$E$5:$E$35,"&lt;=3",'Macro Chart'!$H$5:$H$35,"Built*")</f>
        <v>12</v>
      </c>
      <c r="E6" s="24">
        <f t="shared" si="1"/>
        <v>0.8571428571</v>
      </c>
      <c r="F6" s="8" t="s">
        <v>136</v>
      </c>
    </row>
    <row r="7" ht="24.0" customHeight="1">
      <c r="A7" s="23" t="s">
        <v>52</v>
      </c>
      <c r="B7" s="8" t="s">
        <v>137</v>
      </c>
      <c r="C7" s="6">
        <f>COUNTIFS('Macro Chart'!$D$5:$D$35,A7,'Macro Chart'!$E$5:$E$35,"&lt;=3")</f>
        <v>10</v>
      </c>
      <c r="D7" s="6">
        <f>COUNTIFS('Macro Chart'!$D$5:$D$35,A7,'Macro Chart'!$E$5:$E$35,"&lt;=3",'Macro Chart'!$H$5:$H$35,"Built*")</f>
        <v>2</v>
      </c>
      <c r="E7" s="24">
        <f t="shared" si="1"/>
        <v>0.2</v>
      </c>
      <c r="F7" s="8" t="s">
        <v>138</v>
      </c>
    </row>
    <row r="8" ht="24.0" customHeight="1">
      <c r="A8" s="23" t="s">
        <v>98</v>
      </c>
      <c r="B8" s="8" t="s">
        <v>139</v>
      </c>
      <c r="C8" s="6">
        <f>COUNTIFS('Macro Chart'!$D$5:$D$35,A8,'Macro Chart'!$E$5:$E$35,"&lt;=3")</f>
        <v>1</v>
      </c>
      <c r="D8" s="6">
        <f>COUNTIFS('Macro Chart'!$D$5:$D$35,A8,'Macro Chart'!$E$5:$E$35,"&lt;=3",'Macro Chart'!$H$5:$H$35,"Built*")</f>
        <v>0</v>
      </c>
      <c r="E8" s="24">
        <f t="shared" si="1"/>
        <v>0</v>
      </c>
      <c r="F8" s="8" t="s">
        <v>140</v>
      </c>
    </row>
    <row r="9" ht="24.0" customHeight="1">
      <c r="A9" s="25" t="s">
        <v>141</v>
      </c>
      <c r="B9" s="25" t="s">
        <v>142</v>
      </c>
      <c r="C9" s="26">
        <f t="shared" ref="C9:D9" si="2">SUM(C5:C8)</f>
        <v>25</v>
      </c>
      <c r="D9" s="26">
        <f t="shared" si="2"/>
        <v>14</v>
      </c>
      <c r="E9" s="27">
        <f t="shared" si="1"/>
        <v>0.56</v>
      </c>
      <c r="F9" s="2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0"/>
    <col customWidth="1" min="2" max="2" width="52.0"/>
    <col customWidth="1" min="3" max="3" width="10.0"/>
    <col customWidth="1" min="4" max="26" width="8.71"/>
  </cols>
  <sheetData>
    <row r="1" ht="27.75" customHeight="1">
      <c r="A1" s="21" t="s">
        <v>143</v>
      </c>
      <c r="B1" s="2"/>
      <c r="C1" s="3"/>
    </row>
    <row r="3" ht="21.75" customHeight="1">
      <c r="A3" s="29" t="s">
        <v>144</v>
      </c>
      <c r="B3" s="2"/>
      <c r="C3" s="3"/>
    </row>
    <row r="4" ht="25.5" customHeight="1">
      <c r="A4" s="15" t="s">
        <v>20</v>
      </c>
      <c r="B4" s="30" t="s">
        <v>145</v>
      </c>
      <c r="C4" s="31"/>
    </row>
    <row r="5" ht="25.5" customHeight="1">
      <c r="A5" s="15" t="s">
        <v>15</v>
      </c>
      <c r="B5" s="30" t="s">
        <v>146</v>
      </c>
      <c r="C5" s="31"/>
    </row>
    <row r="6" ht="25.5" customHeight="1">
      <c r="A6" s="15" t="s">
        <v>75</v>
      </c>
      <c r="B6" s="30" t="s">
        <v>147</v>
      </c>
      <c r="C6" s="31"/>
    </row>
    <row r="7" ht="25.5" customHeight="1">
      <c r="A7" s="15" t="s">
        <v>29</v>
      </c>
      <c r="B7" s="30" t="s">
        <v>148</v>
      </c>
      <c r="C7" s="31"/>
    </row>
    <row r="9" ht="21.75" customHeight="1">
      <c r="A9" s="29" t="s">
        <v>149</v>
      </c>
      <c r="B9" s="2"/>
      <c r="C9" s="3"/>
    </row>
    <row r="10" ht="24.0" customHeight="1">
      <c r="A10" s="9" t="s">
        <v>150</v>
      </c>
      <c r="B10" s="30" t="s">
        <v>151</v>
      </c>
      <c r="C10" s="31"/>
    </row>
    <row r="11" ht="24.0" customHeight="1">
      <c r="A11" s="15" t="s">
        <v>152</v>
      </c>
      <c r="B11" s="30" t="s">
        <v>153</v>
      </c>
      <c r="C11" s="31"/>
    </row>
    <row r="12" ht="24.0" customHeight="1">
      <c r="A12" s="16" t="s">
        <v>154</v>
      </c>
      <c r="B12" s="30" t="s">
        <v>155</v>
      </c>
      <c r="C12" s="31"/>
    </row>
    <row r="13" ht="24.0" customHeight="1">
      <c r="A13" s="17" t="s">
        <v>156</v>
      </c>
      <c r="B13" s="30" t="s">
        <v>157</v>
      </c>
      <c r="C13" s="31"/>
    </row>
    <row r="14" ht="24.0" customHeight="1">
      <c r="A14" s="18" t="s">
        <v>158</v>
      </c>
      <c r="B14" s="30" t="s">
        <v>159</v>
      </c>
      <c r="C14" s="31"/>
    </row>
    <row r="16" ht="21.75" customHeight="1">
      <c r="A16" s="29" t="s">
        <v>160</v>
      </c>
      <c r="B16" s="2"/>
      <c r="C16" s="3"/>
    </row>
    <row r="17" ht="21.75" customHeight="1">
      <c r="A17" s="32" t="s">
        <v>16</v>
      </c>
      <c r="B17" s="30" t="s">
        <v>161</v>
      </c>
      <c r="C17" s="31"/>
    </row>
    <row r="18" ht="21.75" customHeight="1">
      <c r="A18" s="32" t="s">
        <v>86</v>
      </c>
      <c r="B18" s="30" t="s">
        <v>162</v>
      </c>
      <c r="C18" s="31"/>
    </row>
    <row r="19" ht="21.75" customHeight="1">
      <c r="A19" s="33" t="s">
        <v>30</v>
      </c>
      <c r="B19" s="30" t="s">
        <v>163</v>
      </c>
      <c r="C19" s="31"/>
    </row>
    <row r="20" ht="21.75" customHeight="1">
      <c r="A20" s="34" t="s">
        <v>24</v>
      </c>
      <c r="B20" s="30" t="s">
        <v>164</v>
      </c>
      <c r="C20" s="31"/>
    </row>
    <row r="21" ht="21.75" customHeight="1">
      <c r="A21" s="35" t="s">
        <v>108</v>
      </c>
      <c r="B21" s="30" t="s">
        <v>165</v>
      </c>
      <c r="C21" s="31"/>
    </row>
    <row r="22" ht="15.75" customHeight="1"/>
    <row r="23" ht="45.75" customHeight="1">
      <c r="A23" s="36" t="s">
        <v>166</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C1"/>
    <mergeCell ref="A3:C3"/>
    <mergeCell ref="B4:C4"/>
    <mergeCell ref="B5:C5"/>
    <mergeCell ref="B6:C6"/>
    <mergeCell ref="B7:C7"/>
    <mergeCell ref="A9:C9"/>
    <mergeCell ref="B18:C18"/>
    <mergeCell ref="B19:C19"/>
    <mergeCell ref="B20:C20"/>
    <mergeCell ref="B21:C21"/>
    <mergeCell ref="A23:C23"/>
    <mergeCell ref="B10:C10"/>
    <mergeCell ref="B11:C11"/>
    <mergeCell ref="B12:C12"/>
    <mergeCell ref="B13:C13"/>
    <mergeCell ref="B14:C14"/>
    <mergeCell ref="A16:C16"/>
    <mergeCell ref="B17:C17"/>
  </mergeCells>
  <printOptions/>
  <pageMargins bottom="1.0" footer="0.0" header="0.0" left="0.75" right="0.75" top="1.0"/>
  <pageSetup paperSize="9" orientation="portrait"/>
  <drawing r:id="rId1"/>
</worksheet>
</file>